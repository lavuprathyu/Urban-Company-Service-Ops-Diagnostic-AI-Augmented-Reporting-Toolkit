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Category Data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bookings_count</t>
        </is>
      </c>
      <c r="D1" t="inlineStr">
        <is>
          <t>revenue_inr</t>
        </is>
      </c>
      <c r="E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Bookings</t>
        </is>
      </c>
      <c r="D1" t="inlineStr">
        <is>
          <t>Category Count</t>
        </is>
      </c>
      <c r="E1" t="inlineStr">
        <is>
          <t>Target</t>
        </is>
      </c>
      <c r="F1" t="inlineStr">
        <is>
          <t>Target Met</t>
        </is>
      </c>
    </row>
    <row r="2">
      <c r="A2" t="inlineStr">
        <is>
          <t>Bengaluru</t>
        </is>
      </c>
      <c r="B2">
        <f>SUMIFS('City-Category Data'!$E$2:$E$28,'City-Category Data'!$A$2:$A$28,"Bengaluru")</f>
        <v/>
      </c>
      <c r="C2">
        <f>SUMIFS('City-Category Data'!$D$2:$D$28,'City-Category Data'!$A$2:$A$28,"Bengaluru")</f>
        <v/>
      </c>
      <c r="D2">
        <f>COUNTIFS('City-Category Data'!$A$2:$A$28,"Bengaluru")</f>
        <v/>
      </c>
      <c r="E2" t="n">
        <v>150000</v>
      </c>
      <c r="F2">
        <f>IF(B2=E2,"Yes","No")</f>
        <v/>
      </c>
    </row>
    <row r="3">
      <c r="A3" t="inlineStr">
        <is>
          <t>Mumbai</t>
        </is>
      </c>
      <c r="B3">
        <f>SUMIFS('City-Category Data'!$E$2:$E$28,'City-Category Data'!$A$2:$A$28,"Mumbai")</f>
        <v/>
      </c>
      <c r="C3">
        <f>SUMIFS('City-Category Data'!$D$2:$D$28,'City-Category Data'!$A$2:$A$28,"Mumbai")</f>
        <v/>
      </c>
      <c r="D3">
        <f>COUNTIFS('City-Category Data'!$A$2:$A$28,"Mumbai")</f>
        <v/>
      </c>
      <c r="E3" t="n">
        <v>150000</v>
      </c>
      <c r="F3">
        <f>IF(B3=E3,"Yes","No")</f>
        <v/>
      </c>
    </row>
    <row r="4">
      <c r="A4" t="inlineStr">
        <is>
          <t>Delhi NCR</t>
        </is>
      </c>
      <c r="B4" s="1">
        <f>SUMIFS('City-Category Data'!$E$2:$E$28,'City-Category Data'!$A$2:$A$28,"Delhi NCR")</f>
        <v/>
      </c>
      <c r="C4">
        <f>SUMIFS('City-Category Data'!$D$2:$D$28,'City-Category Data'!$A$2:$A$28,"Delhi NCR")</f>
        <v/>
      </c>
      <c r="D4">
        <f>COUNTIFS('City-Category Data'!$A$2:$A$28,"Delhi NCR")</f>
        <v/>
      </c>
      <c r="E4" t="n">
        <v>150000</v>
      </c>
      <c r="F4">
        <f>IF(B4=E4,"Yes","No")</f>
        <v/>
      </c>
    </row>
    <row r="5">
      <c r="A5" t="inlineStr">
        <is>
          <t>Pune</t>
        </is>
      </c>
      <c r="B5" s="2">
        <f>SUMIFS('City-Category Data'!$E$2:$E$28,'City-Category Data'!$A$2:$A$28,"Pune")</f>
        <v/>
      </c>
      <c r="C5">
        <f>SUMIFS('City-Category Data'!$D$2:$D$28,'City-Category Data'!$A$2:$A$28,"Pune")</f>
        <v/>
      </c>
      <c r="D5">
        <f>COUNTIFS('City-Category Data'!$A$2:$A$28,"Pune")</f>
        <v/>
      </c>
      <c r="E5" t="n">
        <v>150000</v>
      </c>
      <c r="F5">
        <f>IF(B5=E5,"Yes","No")</f>
        <v/>
      </c>
    </row>
    <row r="6">
      <c r="A6" t="inlineStr">
        <is>
          <t>Hyderabad</t>
        </is>
      </c>
      <c r="B6">
        <f>SUMIFS('City-Category Data'!$E$2:$E$28,'City-Category Data'!$A$2:$A$28,"Hyderabad")</f>
        <v/>
      </c>
      <c r="C6">
        <f>SUMIFS('City-Category Data'!$D$2:$D$28,'City-Category Data'!$A$2:$A$28,"Hyderabad")</f>
        <v/>
      </c>
      <c r="D6">
        <f>COUNTIFS('City-Category Data'!$A$2:$A$28,"Hyderabad")</f>
        <v/>
      </c>
      <c r="E6" t="n">
        <v>150000</v>
      </c>
      <c r="F6">
        <f>IF(B6=E6,"Yes","No")</f>
        <v/>
      </c>
    </row>
    <row r="7">
      <c r="A7" t="inlineStr">
        <is>
          <t>Chennai</t>
        </is>
      </c>
      <c r="B7">
        <f>SUMIFS('City-Category Data'!$E$2:$E$28,'City-Category Data'!$A$2:$A$28,"Chennai")</f>
        <v/>
      </c>
      <c r="C7">
        <f>SUMIFS('City-Category Data'!$D$2:$D$28,'City-Category Data'!$A$2:$A$28,"Chennai")</f>
        <v/>
      </c>
      <c r="D7">
        <f>COUNTIFS('City-Category Data'!$A$2:$A$28,"Chennai")</f>
        <v/>
      </c>
      <c r="E7" t="n">
        <v>150000</v>
      </c>
      <c r="F7">
        <f>IF(B7=E7,"Yes","No")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2026-09-21T10:07:37Z</dcterms:created>
  <dcterms:modified xmlns:dcterms="http://purl.org/dc/terms/" xmlns:xsi="http://www.w3.org/2001/XMLSchema-instance" xsi:type="dcterms:W3CDTF">2026-09-21T10:07:37Z</dcterms:modified>
</cp:coreProperties>
</file>