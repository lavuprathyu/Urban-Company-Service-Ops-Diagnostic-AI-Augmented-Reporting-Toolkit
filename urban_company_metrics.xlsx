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04" yWindow="516" windowWidth="22716" windowHeight="8940" activeTab="1"/>
  </bookViews>
  <sheets>
    <sheet name="City-Category Data" sheetId="1" r:id="rId1"/>
    <sheet name="KPI Summary" sheetId="2" r:id="rId2"/>
  </sheets>
  <calcPr calcId="124519"/>
</workbook>
</file>

<file path=xl/calcChain.xml><?xml version="1.0" encoding="utf-8"?>
<calcChain xmlns="http://schemas.openxmlformats.org/spreadsheetml/2006/main">
  <c r="D7" i="2"/>
  <c r="C7"/>
  <c r="B7"/>
  <c r="D6"/>
  <c r="C6"/>
  <c r="B6"/>
  <c r="D5"/>
  <c r="C5"/>
  <c r="B5"/>
  <c r="D4"/>
  <c r="C4"/>
  <c r="B4"/>
  <c r="F4" s="1"/>
  <c r="D3"/>
  <c r="C3"/>
  <c r="B3"/>
  <c r="D2"/>
  <c r="C2"/>
  <c r="B2"/>
</calcChain>
</file>

<file path=xl/sharedStrings.xml><?xml version="1.0" encoding="utf-8"?>
<sst xmlns="http://schemas.openxmlformats.org/spreadsheetml/2006/main" count="76" uniqueCount="24">
  <si>
    <t>city</t>
  </si>
  <si>
    <t>category</t>
  </si>
  <si>
    <t>bookings_count</t>
  </si>
  <si>
    <t>revenue_inr</t>
  </si>
  <si>
    <t>sla_breaches</t>
  </si>
  <si>
    <t>Bengaluru</t>
  </si>
  <si>
    <t>AC Repair &amp; Service</t>
  </si>
  <si>
    <t>Deep Home Cleaning</t>
  </si>
  <si>
    <t>Electrical Repair</t>
  </si>
  <si>
    <t>Salon for Men</t>
  </si>
  <si>
    <t>Salon for Women</t>
  </si>
  <si>
    <t>Chennai</t>
  </si>
  <si>
    <t>Plumbing</t>
  </si>
  <si>
    <t>Delhi NCR</t>
  </si>
  <si>
    <t>Hyderabad</t>
  </si>
  <si>
    <t>Mumbai</t>
  </si>
  <si>
    <t>Pune</t>
  </si>
  <si>
    <t>City</t>
  </si>
  <si>
    <t>Revenue</t>
  </si>
  <si>
    <t>Bookings</t>
  </si>
  <si>
    <t>Category Count</t>
  </si>
  <si>
    <t>Target</t>
  </si>
  <si>
    <t>Target Met</t>
  </si>
  <si>
    <t>Yes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</si>
</sst>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8"/>
  <sheetViews>
    <sheetView workbookViewId="0"/>
  </sheetViews>
  <sheetFormatPr defaultRowHeight="14.4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40</v>
      </c>
      <c r="D2">
        <v>61229</v>
      </c>
      <c r="E2">
        <v>7</v>
      </c>
    </row>
    <row r="3" spans="1:5">
      <c r="A3" t="s">
        <v>5</v>
      </c>
      <c r="B3" t="s">
        <v>7</v>
      </c>
      <c r="C3">
        <v>18</v>
      </c>
      <c r="D3">
        <v>49592</v>
      </c>
      <c r="E3">
        <v>2</v>
      </c>
    </row>
    <row r="4" spans="1:5">
      <c r="A4" t="s">
        <v>5</v>
      </c>
      <c r="B4" t="s">
        <v>8</v>
      </c>
      <c r="C4">
        <v>19</v>
      </c>
      <c r="D4">
        <v>23082</v>
      </c>
      <c r="E4">
        <v>3</v>
      </c>
    </row>
    <row r="5" spans="1:5">
      <c r="A5" t="s">
        <v>5</v>
      </c>
      <c r="B5" t="s">
        <v>9</v>
      </c>
      <c r="C5">
        <v>14</v>
      </c>
      <c r="D5">
        <v>13565</v>
      </c>
      <c r="E5">
        <v>3</v>
      </c>
    </row>
    <row r="6" spans="1:5">
      <c r="A6" t="s">
        <v>5</v>
      </c>
      <c r="B6" t="s">
        <v>10</v>
      </c>
      <c r="C6">
        <v>16</v>
      </c>
      <c r="D6">
        <v>32367</v>
      </c>
      <c r="E6">
        <v>2</v>
      </c>
    </row>
    <row r="7" spans="1:5">
      <c r="A7" t="s">
        <v>11</v>
      </c>
      <c r="B7" t="s">
        <v>7</v>
      </c>
      <c r="C7">
        <v>37</v>
      </c>
      <c r="D7">
        <v>109499</v>
      </c>
      <c r="E7">
        <v>5</v>
      </c>
    </row>
    <row r="8" spans="1:5">
      <c r="A8" t="s">
        <v>11</v>
      </c>
      <c r="B8" t="s">
        <v>8</v>
      </c>
      <c r="C8">
        <v>13</v>
      </c>
      <c r="D8">
        <v>13044</v>
      </c>
      <c r="E8">
        <v>1</v>
      </c>
    </row>
    <row r="9" spans="1:5">
      <c r="A9" t="s">
        <v>11</v>
      </c>
      <c r="B9" t="s">
        <v>12</v>
      </c>
      <c r="C9">
        <v>63</v>
      </c>
      <c r="D9">
        <v>53029</v>
      </c>
      <c r="E9">
        <v>9</v>
      </c>
    </row>
    <row r="10" spans="1:5">
      <c r="A10" t="s">
        <v>13</v>
      </c>
      <c r="B10" t="s">
        <v>6</v>
      </c>
      <c r="C10">
        <v>14</v>
      </c>
      <c r="D10">
        <v>22760</v>
      </c>
      <c r="E10">
        <v>0</v>
      </c>
    </row>
    <row r="11" spans="1:5">
      <c r="A11" t="s">
        <v>13</v>
      </c>
      <c r="B11" t="s">
        <v>7</v>
      </c>
      <c r="C11">
        <v>25</v>
      </c>
      <c r="D11">
        <v>63041</v>
      </c>
      <c r="E11">
        <v>0</v>
      </c>
    </row>
    <row r="12" spans="1:5">
      <c r="A12" t="s">
        <v>13</v>
      </c>
      <c r="B12" t="s">
        <v>8</v>
      </c>
      <c r="C12">
        <v>12</v>
      </c>
      <c r="D12">
        <v>12585</v>
      </c>
      <c r="E12">
        <v>1</v>
      </c>
    </row>
    <row r="13" spans="1:5">
      <c r="A13" t="s">
        <v>13</v>
      </c>
      <c r="B13" t="s">
        <v>12</v>
      </c>
      <c r="C13">
        <v>19</v>
      </c>
      <c r="D13">
        <v>16065</v>
      </c>
      <c r="E13">
        <v>3</v>
      </c>
    </row>
    <row r="14" spans="1:5">
      <c r="A14" t="s">
        <v>13</v>
      </c>
      <c r="B14" t="s">
        <v>10</v>
      </c>
      <c r="C14">
        <v>13</v>
      </c>
      <c r="D14">
        <v>26320</v>
      </c>
      <c r="E14">
        <v>2</v>
      </c>
    </row>
    <row r="15" spans="1:5">
      <c r="A15" t="s">
        <v>14</v>
      </c>
      <c r="B15" t="s">
        <v>7</v>
      </c>
      <c r="C15">
        <v>29</v>
      </c>
      <c r="D15">
        <v>91425</v>
      </c>
      <c r="E15">
        <v>4</v>
      </c>
    </row>
    <row r="16" spans="1:5">
      <c r="A16" t="s">
        <v>14</v>
      </c>
      <c r="B16" t="s">
        <v>8</v>
      </c>
      <c r="C16">
        <v>27</v>
      </c>
      <c r="D16">
        <v>29032</v>
      </c>
      <c r="E16">
        <v>3</v>
      </c>
    </row>
    <row r="17" spans="1:5">
      <c r="A17" t="s">
        <v>14</v>
      </c>
      <c r="B17" t="s">
        <v>12</v>
      </c>
      <c r="C17">
        <v>13</v>
      </c>
      <c r="D17">
        <v>11743</v>
      </c>
      <c r="E17">
        <v>1</v>
      </c>
    </row>
    <row r="18" spans="1:5">
      <c r="A18" t="s">
        <v>14</v>
      </c>
      <c r="B18" t="s">
        <v>9</v>
      </c>
      <c r="C18">
        <v>23</v>
      </c>
      <c r="D18">
        <v>22289</v>
      </c>
      <c r="E18">
        <v>5</v>
      </c>
    </row>
    <row r="19" spans="1:5">
      <c r="A19" t="s">
        <v>14</v>
      </c>
      <c r="B19" t="s">
        <v>10</v>
      </c>
      <c r="C19">
        <v>6</v>
      </c>
      <c r="D19">
        <v>17149</v>
      </c>
      <c r="E19">
        <v>1</v>
      </c>
    </row>
    <row r="20" spans="1:5">
      <c r="A20" t="s">
        <v>15</v>
      </c>
      <c r="B20" t="s">
        <v>6</v>
      </c>
      <c r="C20">
        <v>20</v>
      </c>
      <c r="D20">
        <v>29050</v>
      </c>
      <c r="E20">
        <v>4</v>
      </c>
    </row>
    <row r="21" spans="1:5">
      <c r="A21" t="s">
        <v>15</v>
      </c>
      <c r="B21" t="s">
        <v>7</v>
      </c>
      <c r="C21">
        <v>28</v>
      </c>
      <c r="D21">
        <v>73938</v>
      </c>
      <c r="E21">
        <v>1</v>
      </c>
    </row>
    <row r="22" spans="1:5">
      <c r="A22" t="s">
        <v>15</v>
      </c>
      <c r="B22" t="s">
        <v>8</v>
      </c>
      <c r="C22">
        <v>11</v>
      </c>
      <c r="D22">
        <v>11360</v>
      </c>
      <c r="E22">
        <v>2</v>
      </c>
    </row>
    <row r="23" spans="1:5">
      <c r="A23" t="s">
        <v>15</v>
      </c>
      <c r="B23" t="s">
        <v>9</v>
      </c>
      <c r="C23">
        <v>27</v>
      </c>
      <c r="D23">
        <v>23901</v>
      </c>
      <c r="E23">
        <v>5</v>
      </c>
    </row>
    <row r="24" spans="1:5">
      <c r="A24" t="s">
        <v>15</v>
      </c>
      <c r="B24" t="s">
        <v>10</v>
      </c>
      <c r="C24">
        <v>6</v>
      </c>
      <c r="D24">
        <v>13181</v>
      </c>
      <c r="E24">
        <v>1</v>
      </c>
    </row>
    <row r="25" spans="1:5">
      <c r="A25" t="s">
        <v>16</v>
      </c>
      <c r="B25" t="s">
        <v>7</v>
      </c>
      <c r="C25">
        <v>39</v>
      </c>
      <c r="D25">
        <v>121469</v>
      </c>
      <c r="E25">
        <v>9</v>
      </c>
    </row>
    <row r="26" spans="1:5">
      <c r="A26" t="s">
        <v>16</v>
      </c>
      <c r="B26" t="s">
        <v>8</v>
      </c>
      <c r="C26">
        <v>30</v>
      </c>
      <c r="D26">
        <v>30778</v>
      </c>
      <c r="E26">
        <v>3</v>
      </c>
    </row>
    <row r="27" spans="1:5">
      <c r="A27" t="s">
        <v>16</v>
      </c>
      <c r="B27" t="s">
        <v>9</v>
      </c>
      <c r="C27">
        <v>14</v>
      </c>
      <c r="D27">
        <v>13808</v>
      </c>
      <c r="E27">
        <v>1</v>
      </c>
    </row>
    <row r="28" spans="1:5">
      <c r="A28" t="s">
        <v>16</v>
      </c>
      <c r="B28" t="s">
        <v>10</v>
      </c>
      <c r="C28">
        <v>24</v>
      </c>
      <c r="D28">
        <v>62672</v>
      </c>
      <c r="E28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"/>
  <sheetViews>
    <sheetView tabSelected="1" workbookViewId="0">
      <selection activeCell="F7" sqref="F7"/>
    </sheetView>
  </sheetViews>
  <sheetFormatPr defaultRowHeight="14.4"/>
  <sheetData>
    <row r="1" spans="1:6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5</v>
      </c>
      <c r="B2">
        <f>SUMIFS('City-Category Data'!$E$2:$E$28,'City-Category Data'!$A$2:$A$28,"Bengaluru")</f>
        <v>17</v>
      </c>
      <c r="C2">
        <f>SUMIFS('City-Category Data'!$D$2:$D$28,'City-Category Data'!$A$2:$A$28,"Bengaluru")</f>
        <v>179835</v>
      </c>
      <c r="D2">
        <f>COUNTIFS('City-Category Data'!$A$2:$A$28,"Bengaluru")</f>
        <v>5</v>
      </c>
      <c r="E2">
        <v>150000</v>
      </c>
      <c r="F2" t="s">
        <v>23</v>
      </c>
    </row>
    <row r="3" spans="1:6">
      <c r="A3" t="s">
        <v>15</v>
      </c>
      <c r="B3">
        <f>SUMIFS('City-Category Data'!$E$2:$E$28,'City-Category Data'!$A$2:$A$28,"Mumbai")</f>
        <v>13</v>
      </c>
      <c r="C3">
        <f>SUMIFS('City-Category Data'!$D$2:$D$28,'City-Category Data'!$A$2:$A$28,"Mumbai")</f>
        <v>151430</v>
      </c>
      <c r="D3">
        <f>COUNTIFS('City-Category Data'!$A$2:$A$28,"Mumbai")</f>
        <v>5</v>
      </c>
      <c r="E3">
        <v>150000</v>
      </c>
      <c r="F3" t="s">
        <v>23</v>
      </c>
    </row>
    <row r="4" spans="1:6">
      <c r="A4" t="s">
        <v>13</v>
      </c>
      <c r="B4" s="1">
        <f>SUMIFS('City-Category Data'!$E$2:$E$28,'City-Category Data'!$A$2:$A$28,"Delhi NCR")</f>
        <v>6</v>
      </c>
      <c r="C4">
        <f>SUMIFS('City-Category Data'!$D$2:$D$28,'City-Category Data'!$A$2:$A$28,"Delhi NCR")</f>
        <v>140771</v>
      </c>
      <c r="D4">
        <f>COUNTIFS('City-Category Data'!$A$2:$A$28,"Delhi NCR")</f>
        <v>5</v>
      </c>
      <c r="E4">
        <v>150000</v>
      </c>
      <c r="F4" t="str">
        <f t="shared" ref="F2:F7" si="0">IF(B4=E4,"Yes","No")</f>
        <v>No</v>
      </c>
    </row>
    <row r="5" spans="1:6">
      <c r="A5" t="s">
        <v>16</v>
      </c>
      <c r="B5" s="2">
        <f>SUMIFS('City-Category Data'!$E$2:$E$28,'City-Category Data'!$A$2:$A$28,"Pune")</f>
        <v>14</v>
      </c>
      <c r="C5">
        <f>SUMIFS('City-Category Data'!$D$2:$D$28,'City-Category Data'!$A$2:$A$28,"Pune")</f>
        <v>228727</v>
      </c>
      <c r="D5">
        <f>COUNTIFS('City-Category Data'!$A$2:$A$28,"Pune")</f>
        <v>4</v>
      </c>
      <c r="E5">
        <v>150000</v>
      </c>
      <c r="F5" t="s">
        <v>23</v>
      </c>
    </row>
    <row r="6" spans="1:6">
      <c r="A6" t="s">
        <v>14</v>
      </c>
      <c r="B6">
        <f>SUMIFS('City-Category Data'!$E$2:$E$28,'City-Category Data'!$A$2:$A$28,"Hyderabad")</f>
        <v>14</v>
      </c>
      <c r="C6">
        <f>SUMIFS('City-Category Data'!$D$2:$D$28,'City-Category Data'!$A$2:$A$28,"Hyderabad")</f>
        <v>171638</v>
      </c>
      <c r="D6">
        <f>COUNTIFS('City-Category Data'!$A$2:$A$28,"Hyderabad")</f>
        <v>5</v>
      </c>
      <c r="E6">
        <v>150000</v>
      </c>
      <c r="F6" t="s">
        <v>23</v>
      </c>
    </row>
    <row r="7" spans="1:6">
      <c r="A7" t="s">
        <v>11</v>
      </c>
      <c r="B7">
        <f>SUMIFS('City-Category Data'!$E$2:$E$28,'City-Category Data'!$A$2:$A$28,"Chennai")</f>
        <v>15</v>
      </c>
      <c r="C7">
        <f>SUMIFS('City-Category Data'!$D$2:$D$28,'City-Category Data'!$A$2:$A$28,"Chennai")</f>
        <v>175572</v>
      </c>
      <c r="D7">
        <f>COUNTIFS('City-Category Data'!$A$2:$A$28,"Chennai")</f>
        <v>3</v>
      </c>
      <c r="E7">
        <v>150000</v>
      </c>
      <c r="F7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City-Category Data</vt:lpstr>
      <vt:lpstr>KPI Summary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2026-09-21T10:07:37Z</dcterms:created>
  <dcterms:modified xsi:type="dcterms:W3CDTF">2026-09-24T16:19:02Z</dcterms:modified>
</cp:coreProperties>
</file>