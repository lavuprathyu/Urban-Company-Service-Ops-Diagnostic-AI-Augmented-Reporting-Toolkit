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04" yWindow="516" windowWidth="22716" windowHeight="8940"/>
  </bookViews>
  <sheets>
    <sheet name="City-Category Data" sheetId="1" r:id="rId1"/>
    <sheet name="KPI Summary" sheetId="2" r:id="rId2"/>
    <sheet name="category_reference sheet" sheetId="3" r:id="rId3"/>
    <sheet name="pivot table" sheetId="4" r:id="rId4"/>
  </sheets>
  <externalReferences>
    <externalReference r:id="rId5"/>
  </externalReferences>
  <calcPr calcId="124519"/>
  <pivotCaches>
    <pivotCache cacheId="0" r:id="rId6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"/>
  <c r="H13"/>
  <c r="H14"/>
  <c r="H15"/>
  <c r="H16"/>
  <c r="H17"/>
  <c r="H18"/>
  <c r="H19"/>
  <c r="H20"/>
  <c r="H21"/>
  <c r="H22"/>
  <c r="H23"/>
  <c r="H24"/>
  <c r="H25"/>
  <c r="H26"/>
  <c r="H27"/>
  <c r="H28"/>
  <c r="H3"/>
  <c r="H4"/>
  <c r="H5"/>
  <c r="H6"/>
  <c r="H7"/>
  <c r="H8"/>
  <c r="H9"/>
  <c r="H10"/>
  <c r="H11"/>
  <c r="H12"/>
  <c r="H2"/>
  <c r="G2"/>
  <c r="G28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F6"/>
  <c r="F3"/>
  <c r="F4"/>
  <c r="F5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"/>
  <c r="D7" i="2"/>
  <c r="C7"/>
  <c r="D6"/>
  <c r="C6"/>
  <c r="D5"/>
  <c r="C5"/>
  <c r="D4"/>
  <c r="C4"/>
  <c r="F4"/>
  <c r="D3"/>
  <c r="C3"/>
  <c r="D2"/>
  <c r="C2"/>
</calcChain>
</file>

<file path=xl/sharedStrings.xml><?xml version="1.0" encoding="utf-8"?>
<sst xmlns="http://schemas.openxmlformats.org/spreadsheetml/2006/main" count="116" uniqueCount="42">
  <si>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</si>
  <si>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</si>
  <si>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</si>
  <si>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</si>
  <si>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</si>
  <si>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</si>
  <si>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</si>
  <si>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</si>
  <si>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</si>
  <si>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</si>
  <si>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</si>
  <si>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</si>
  <si>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</si>
  <si>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</si>
  <si>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</si>
  <si>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</si>
  <si>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</si>
  <si>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City</t>
  </si>
  <si>
    <t>Revenue</t>
  </si>
  <si>
    <t>Bookings</t>
  </si>
  <si>
    <t>Category Count</t>
  </si>
  <si>
    <t>Target</t>
  </si>
  <si>
    <t>Target Met</t>
  </si>
  <si>
    <t>Yes</t>
  </si>
  <si>
    <t>Category</t>
  </si>
  <si>
    <t>Price Band</t>
  </si>
  <si>
    <t>High</t>
  </si>
  <si>
    <t>Medium</t>
  </si>
  <si>
    <t>Low</t>
  </si>
  <si>
    <t>Min Price (₹)</t>
  </si>
  <si>
    <t>Max Price (₹)</t>
  </si>
  <si>
    <t>Low: Maximum price ≤ ₹1,499</t>
  </si>
  <si>
    <t>Medium: Maximum price ₹1,500–₹3,499</t>
  </si>
  <si>
    <t>High: Maximum price ≥ ₹3,500</t>
  </si>
  <si>
    <t>Row Labels</t>
  </si>
  <si>
    <t>Grand Total</t>
  </si>
  <si>
    <t>Column Labels</t>
  </si>
  <si>
    <t>Sum of revenue_inr</t>
  </si>
  <si>
    <t>price bands</t>
  </si>
  <si>
    <t>SQL Bookings</t>
  </si>
  <si>
    <t>SQL Revenue</t>
  </si>
  <si>
    <t>Reconciliation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</si>
</sst>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ty_category_summary%20(1)%20(1)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ity_category_summary"/>
    </sheetNames>
    <sheetDataSet>
      <sheetData sheetId="0">
        <row r="1">
          <cell r="A1" t="str">
            <v>city</v>
          </cell>
          <cell r="B1" t="str">
            <v>category</v>
          </cell>
          <cell r="C1" t="str">
            <v>bookings_count</v>
          </cell>
          <cell r="D1" t="str">
            <v>revenue_inr</v>
          </cell>
        </row>
        <row r="2">
          <cell r="A2" t="str">
            <v>Bengaluru</v>
          </cell>
          <cell r="B2" t="str">
            <v>AC Repair &amp; Service</v>
          </cell>
          <cell r="C2">
            <v>40</v>
          </cell>
          <cell r="D2">
            <v>61229</v>
          </cell>
        </row>
        <row r="3">
          <cell r="A3" t="str">
            <v>Bengaluru</v>
          </cell>
          <cell r="B3" t="str">
            <v>Deep Home Cleaning</v>
          </cell>
          <cell r="C3">
            <v>18</v>
          </cell>
          <cell r="D3">
            <v>49592</v>
          </cell>
        </row>
        <row r="4">
          <cell r="A4" t="str">
            <v>Bengaluru</v>
          </cell>
          <cell r="B4" t="str">
            <v>Electrical Repair</v>
          </cell>
          <cell r="C4">
            <v>19</v>
          </cell>
          <cell r="D4">
            <v>23082</v>
          </cell>
        </row>
        <row r="5">
          <cell r="A5" t="str">
            <v>Bengaluru</v>
          </cell>
          <cell r="B5" t="str">
            <v>Salon for Men</v>
          </cell>
          <cell r="C5">
            <v>14</v>
          </cell>
          <cell r="D5">
            <v>13565</v>
          </cell>
        </row>
        <row r="6">
          <cell r="A6" t="str">
            <v>Bengaluru</v>
          </cell>
          <cell r="B6" t="str">
            <v>Salon for Women</v>
          </cell>
          <cell r="C6">
            <v>16</v>
          </cell>
          <cell r="D6">
            <v>32367</v>
          </cell>
        </row>
        <row r="7">
          <cell r="A7" t="str">
            <v>Chennai</v>
          </cell>
          <cell r="B7" t="str">
            <v>Deep Home Cleaning</v>
          </cell>
          <cell r="C7">
            <v>37</v>
          </cell>
          <cell r="D7">
            <v>109499</v>
          </cell>
        </row>
        <row r="8">
          <cell r="A8" t="str">
            <v>Chennai</v>
          </cell>
          <cell r="B8" t="str">
            <v>Electrical Repair</v>
          </cell>
          <cell r="C8">
            <v>13</v>
          </cell>
          <cell r="D8">
            <v>13044</v>
          </cell>
        </row>
        <row r="9">
          <cell r="A9" t="str">
            <v>Chennai</v>
          </cell>
          <cell r="B9" t="str">
            <v>Plumbing</v>
          </cell>
          <cell r="C9">
            <v>63</v>
          </cell>
          <cell r="D9">
            <v>53029</v>
          </cell>
        </row>
        <row r="10">
          <cell r="A10" t="str">
            <v>Delhi NCR</v>
          </cell>
          <cell r="B10" t="str">
            <v>AC Repair &amp; Service</v>
          </cell>
          <cell r="C10">
            <v>14</v>
          </cell>
          <cell r="D10">
            <v>22760</v>
          </cell>
        </row>
        <row r="11">
          <cell r="A11" t="str">
            <v>Delhi NCR</v>
          </cell>
          <cell r="B11" t="str">
            <v>Deep Home Cleaning</v>
          </cell>
          <cell r="C11">
            <v>25</v>
          </cell>
          <cell r="D11">
            <v>63041</v>
          </cell>
        </row>
        <row r="12">
          <cell r="A12" t="str">
            <v>Delhi NCR</v>
          </cell>
          <cell r="B12" t="str">
            <v>Electrical Repair</v>
          </cell>
          <cell r="C12">
            <v>12</v>
          </cell>
          <cell r="D12">
            <v>12585</v>
          </cell>
        </row>
        <row r="13">
          <cell r="A13" t="str">
            <v>Delhi NCR</v>
          </cell>
          <cell r="B13" t="str">
            <v>Plumbing</v>
          </cell>
          <cell r="C13">
            <v>19</v>
          </cell>
          <cell r="D13">
            <v>16065</v>
          </cell>
        </row>
        <row r="14">
          <cell r="A14" t="str">
            <v>Delhi NCR</v>
          </cell>
          <cell r="B14" t="str">
            <v>Salon for Women</v>
          </cell>
          <cell r="C14">
            <v>13</v>
          </cell>
          <cell r="D14">
            <v>26320</v>
          </cell>
        </row>
        <row r="15">
          <cell r="A15" t="str">
            <v>Hyderabad</v>
          </cell>
          <cell r="B15" t="str">
            <v>Deep Home Cleaning</v>
          </cell>
          <cell r="C15">
            <v>29</v>
          </cell>
          <cell r="D15">
            <v>91425</v>
          </cell>
        </row>
        <row r="16">
          <cell r="A16" t="str">
            <v>Hyderabad</v>
          </cell>
          <cell r="B16" t="str">
            <v>Electrical Repair</v>
          </cell>
          <cell r="C16">
            <v>27</v>
          </cell>
          <cell r="D16">
            <v>29032</v>
          </cell>
        </row>
        <row r="17">
          <cell r="A17" t="str">
            <v>Hyderabad</v>
          </cell>
          <cell r="B17" t="str">
            <v>Plumbing</v>
          </cell>
          <cell r="C17">
            <v>13</v>
          </cell>
          <cell r="D17">
            <v>11743</v>
          </cell>
        </row>
        <row r="18">
          <cell r="A18" t="str">
            <v>Hyderabad</v>
          </cell>
          <cell r="B18" t="str">
            <v>Salon for Men</v>
          </cell>
          <cell r="C18">
            <v>23</v>
          </cell>
          <cell r="D18">
            <v>22289</v>
          </cell>
        </row>
        <row r="19">
          <cell r="A19" t="str">
            <v>Hyderabad</v>
          </cell>
          <cell r="B19" t="str">
            <v>Salon for Women</v>
          </cell>
          <cell r="C19">
            <v>6</v>
          </cell>
          <cell r="D19">
            <v>17149</v>
          </cell>
        </row>
        <row r="20">
          <cell r="A20" t="str">
            <v>Mumbai</v>
          </cell>
          <cell r="B20" t="str">
            <v>AC Repair &amp; Service</v>
          </cell>
          <cell r="C20">
            <v>20</v>
          </cell>
          <cell r="D20">
            <v>29050</v>
          </cell>
        </row>
        <row r="21">
          <cell r="A21" t="str">
            <v>Mumbai</v>
          </cell>
          <cell r="B21" t="str">
            <v>Deep Home Cleaning</v>
          </cell>
          <cell r="C21">
            <v>28</v>
          </cell>
          <cell r="D21">
            <v>73938</v>
          </cell>
        </row>
        <row r="22">
          <cell r="A22" t="str">
            <v>Mumbai</v>
          </cell>
          <cell r="B22" t="str">
            <v>Electrical Repair</v>
          </cell>
          <cell r="C22">
            <v>11</v>
          </cell>
          <cell r="D22">
            <v>11360</v>
          </cell>
        </row>
        <row r="23">
          <cell r="A23" t="str">
            <v>Mumbai</v>
          </cell>
          <cell r="B23" t="str">
            <v>Salon for Men</v>
          </cell>
          <cell r="C23">
            <v>27</v>
          </cell>
          <cell r="D23">
            <v>23901</v>
          </cell>
        </row>
        <row r="24">
          <cell r="A24" t="str">
            <v>Mumbai</v>
          </cell>
          <cell r="B24" t="str">
            <v>Salon for Women</v>
          </cell>
          <cell r="C24">
            <v>6</v>
          </cell>
          <cell r="D24">
            <v>13181</v>
          </cell>
        </row>
        <row r="25">
          <cell r="A25" t="str">
            <v>Pune</v>
          </cell>
          <cell r="B25" t="str">
            <v>Deep Home Cleaning</v>
          </cell>
          <cell r="C25">
            <v>39</v>
          </cell>
          <cell r="D25">
            <v>121469</v>
          </cell>
        </row>
        <row r="26">
          <cell r="A26" t="str">
            <v>Pune</v>
          </cell>
          <cell r="B26" t="str">
            <v>Electrical Repair</v>
          </cell>
          <cell r="C26">
            <v>30</v>
          </cell>
          <cell r="D26">
            <v>30778</v>
          </cell>
        </row>
        <row r="27">
          <cell r="A27" t="str">
            <v>Pune</v>
          </cell>
          <cell r="B27" t="str">
            <v>Salon for Men</v>
          </cell>
          <cell r="C27">
            <v>14</v>
          </cell>
          <cell r="D27">
            <v>13808</v>
          </cell>
        </row>
        <row r="28">
          <cell r="A28" t="str">
            <v>Pune</v>
          </cell>
          <cell r="B28" t="str">
            <v>Salon for Women</v>
          </cell>
          <cell r="C28">
            <v>24</v>
          </cell>
          <cell r="D28">
            <v>62672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21.942232291665" createdVersion="3" refreshedVersion="3" minRefreshableVersion="3" recordCount="27">
  <cacheSource type="worksheet">
    <worksheetSource ref="A1:E28" sheet="City-Category Data"/>
  </cacheSource>
  <cacheFields count="5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 count="27">
        <n v="61229"/>
        <n v="49592"/>
        <n v="23082"/>
        <n v="13565"/>
        <n v="32367"/>
        <n v="109499"/>
        <n v="13044"/>
        <n v="53029"/>
        <n v="22760"/>
        <n v="63041"/>
        <n v="12585"/>
        <n v="16065"/>
        <n v="26320"/>
        <n v="91425"/>
        <n v="29032"/>
        <n v="11743"/>
        <n v="22289"/>
        <n v="17149"/>
        <n v="29050"/>
        <n v="73938"/>
        <n v="11360"/>
        <n v="23901"/>
        <n v="13181"/>
        <n v="121469"/>
        <n v="30778"/>
        <n v="13808"/>
        <n v="62672"/>
      </sharedItems>
    </cacheField>
    <cacheField name="sla_breaches" numFmtId="0">
      <sharedItems containsSemiMixedTypes="0" containsString="0" containsNumber="1" containsInteger="1" minValue="0" maxValue="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  <n v="40"/>
    <x v="0"/>
    <n v="7"/>
  </r>
  <r>
    <x v="0"/>
    <x v="1"/>
    <n v="18"/>
    <x v="1"/>
    <n v="2"/>
  </r>
  <r>
    <x v="0"/>
    <x v="2"/>
    <n v="19"/>
    <x v="2"/>
    <n v="3"/>
  </r>
  <r>
    <x v="0"/>
    <x v="3"/>
    <n v="14"/>
    <x v="3"/>
    <n v="3"/>
  </r>
  <r>
    <x v="0"/>
    <x v="4"/>
    <n v="16"/>
    <x v="4"/>
    <n v="2"/>
  </r>
  <r>
    <x v="1"/>
    <x v="1"/>
    <n v="37"/>
    <x v="5"/>
    <n v="5"/>
  </r>
  <r>
    <x v="1"/>
    <x v="2"/>
    <n v="13"/>
    <x v="6"/>
    <n v="1"/>
  </r>
  <r>
    <x v="1"/>
    <x v="5"/>
    <n v="63"/>
    <x v="7"/>
    <n v="9"/>
  </r>
  <r>
    <x v="2"/>
    <x v="0"/>
    <n v="14"/>
    <x v="8"/>
    <n v="0"/>
  </r>
  <r>
    <x v="2"/>
    <x v="1"/>
    <n v="25"/>
    <x v="9"/>
    <n v="0"/>
  </r>
  <r>
    <x v="2"/>
    <x v="2"/>
    <n v="12"/>
    <x v="10"/>
    <n v="1"/>
  </r>
  <r>
    <x v="2"/>
    <x v="5"/>
    <n v="19"/>
    <x v="11"/>
    <n v="3"/>
  </r>
  <r>
    <x v="2"/>
    <x v="4"/>
    <n v="13"/>
    <x v="12"/>
    <n v="2"/>
  </r>
  <r>
    <x v="3"/>
    <x v="1"/>
    <n v="29"/>
    <x v="13"/>
    <n v="4"/>
  </r>
  <r>
    <x v="3"/>
    <x v="2"/>
    <n v="27"/>
    <x v="14"/>
    <n v="3"/>
  </r>
  <r>
    <x v="3"/>
    <x v="5"/>
    <n v="13"/>
    <x v="15"/>
    <n v="1"/>
  </r>
  <r>
    <x v="3"/>
    <x v="3"/>
    <n v="23"/>
    <x v="16"/>
    <n v="5"/>
  </r>
  <r>
    <x v="3"/>
    <x v="4"/>
    <n v="6"/>
    <x v="17"/>
    <n v="1"/>
  </r>
  <r>
    <x v="4"/>
    <x v="0"/>
    <n v="20"/>
    <x v="18"/>
    <n v="4"/>
  </r>
  <r>
    <x v="4"/>
    <x v="1"/>
    <n v="28"/>
    <x v="19"/>
    <n v="1"/>
  </r>
  <r>
    <x v="4"/>
    <x v="2"/>
    <n v="11"/>
    <x v="20"/>
    <n v="2"/>
  </r>
  <r>
    <x v="4"/>
    <x v="3"/>
    <n v="27"/>
    <x v="21"/>
    <n v="5"/>
  </r>
  <r>
    <x v="4"/>
    <x v="4"/>
    <n v="6"/>
    <x v="22"/>
    <n v="1"/>
  </r>
  <r>
    <x v="5"/>
    <x v="1"/>
    <n v="39"/>
    <x v="23"/>
    <n v="9"/>
  </r>
  <r>
    <x v="5"/>
    <x v="2"/>
    <n v="30"/>
    <x v="24"/>
    <n v="3"/>
  </r>
  <r>
    <x v="5"/>
    <x v="3"/>
    <n v="14"/>
    <x v="25"/>
    <n v="1"/>
  </r>
  <r>
    <x v="5"/>
    <x v="4"/>
    <n v="24"/>
    <x v="2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H11" firstHeaderRow="1" firstDataRow="2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5"/>
        <item x="3"/>
        <item x="4"/>
        <item t="default"/>
      </items>
    </pivotField>
    <pivotField showAll="0"/>
    <pivotField dataField="1" showAll="0">
      <items count="28">
        <item x="20"/>
        <item x="15"/>
        <item x="10"/>
        <item x="6"/>
        <item x="22"/>
        <item x="3"/>
        <item x="25"/>
        <item x="11"/>
        <item x="17"/>
        <item x="16"/>
        <item x="8"/>
        <item x="2"/>
        <item x="21"/>
        <item x="12"/>
        <item x="14"/>
        <item x="18"/>
        <item x="24"/>
        <item x="4"/>
        <item x="1"/>
        <item x="7"/>
        <item x="0"/>
        <item x="26"/>
        <item x="9"/>
        <item x="19"/>
        <item x="13"/>
        <item x="5"/>
        <item x="23"/>
        <item t="default"/>
      </items>
    </pivotField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>
      <selection activeCell="F30" sqref="F30"/>
    </sheetView>
  </sheetViews>
  <sheetFormatPr defaultRowHeight="14.4"/>
  <cols>
    <col min="2" max="2" width="21.44140625" customWidth="1"/>
    <col min="3" max="3" width="13.5546875" customWidth="1"/>
    <col min="4" max="4" width="14.5546875" customWidth="1"/>
    <col min="5" max="5" width="12.21875" customWidth="1"/>
    <col min="6" max="6" width="12.6640625" customWidth="1"/>
    <col min="7" max="7" width="31.88671875" customWidth="1"/>
    <col min="8" max="8" width="23.8867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39</v>
      </c>
      <c r="H1" t="s">
        <v>40</v>
      </c>
      <c r="I1" t="s">
        <v>41</v>
      </c>
    </row>
    <row r="2" spans="1:9">
      <c r="A2" t="s">
        <v>5</v>
      </c>
      <c r="B2" t="s">
        <v>6</v>
      </c>
      <c r="C2">
        <v>40</v>
      </c>
      <c r="D2">
        <v>61229</v>
      </c>
      <c r="E2">
        <v>7</v>
      </c>
      <c r="F2" t="str">
        <f>VLOOKUP(B2,'category_reference sheet'!$A$2:$D$100,4,FALSE)</f>
        <v>Medium</v>
      </c>
      <c r="G2">
        <f>SUMIFS([1]city_category_summary!$C:$C,[1]city_category_summary!$A:$A,A2,[1]city_category_summary!$B:$B,B2)</f>
        <v>40</v>
      </c>
      <c r="H2">
        <f>SUMIFS([1]city_category_summary!$D:$D,[1]city_category_summary!$A:$A,A2,[1]city_category_summary!$B:$B,B2)</f>
        <v>61229</v>
      </c>
      <c r="I2" t="str">
        <f>IF(AND(C2=G2,D2=H2),"Match","Mismatch")</f>
        <v>Match</v>
      </c>
    </row>
    <row r="3" spans="1:9">
      <c r="A3" t="s">
        <v>5</v>
      </c>
      <c r="B3" t="s">
        <v>7</v>
      </c>
      <c r="C3">
        <v>18</v>
      </c>
      <c r="D3">
        <v>49592</v>
      </c>
      <c r="E3">
        <v>2</v>
      </c>
      <c r="F3" t="str">
        <f>VLOOKUP(B3,'category_reference sheet'!$A$2:$D$100,4,FALSE)</f>
        <v>High</v>
      </c>
      <c r="G3">
        <f>SUMIFS([1]city_category_summary!$C:$C,[1]city_category_summary!$A:$A,A3,[1]city_category_summary!$B:$B,B3)</f>
        <v>18</v>
      </c>
      <c r="H3">
        <f>SUMIFS([1]city_category_summary!$D:$D,[1]city_category_summary!$A:$A,A3,[1]city_category_summary!$B:$B,B3)</f>
        <v>49592</v>
      </c>
      <c r="I3" t="str">
        <f t="shared" ref="I3:I28" si="0">IF(AND(C3=G3,D3=H3),"Match","Mismatch")</f>
        <v>Match</v>
      </c>
    </row>
    <row r="4" spans="1:9">
      <c r="A4" t="s">
        <v>5</v>
      </c>
      <c r="B4" t="s">
        <v>8</v>
      </c>
      <c r="C4">
        <v>19</v>
      </c>
      <c r="D4">
        <v>23082</v>
      </c>
      <c r="E4">
        <v>3</v>
      </c>
      <c r="F4" t="str">
        <f>VLOOKUP(B4,'category_reference sheet'!$A$2:$D$100,4,FALSE)</f>
        <v>Medium</v>
      </c>
      <c r="G4">
        <f>SUMIFS([1]city_category_summary!$C:$C,[1]city_category_summary!$A:$A,A4,[1]city_category_summary!$B:$B,B4)</f>
        <v>19</v>
      </c>
      <c r="H4">
        <f>SUMIFS([1]city_category_summary!$D:$D,[1]city_category_summary!$A:$A,A4,[1]city_category_summary!$B:$B,B4)</f>
        <v>23082</v>
      </c>
      <c r="I4" t="str">
        <f t="shared" si="0"/>
        <v>Match</v>
      </c>
    </row>
    <row r="5" spans="1:9">
      <c r="A5" t="s">
        <v>5</v>
      </c>
      <c r="B5" t="s">
        <v>9</v>
      </c>
      <c r="C5">
        <v>14</v>
      </c>
      <c r="D5">
        <v>13565</v>
      </c>
      <c r="E5">
        <v>3</v>
      </c>
      <c r="F5" t="str">
        <f>VLOOKUP(B5,'category_reference sheet'!$A$2:$D$100,4,FALSE)</f>
        <v>Low</v>
      </c>
      <c r="G5">
        <f>SUMIFS([1]city_category_summary!$C:$C,[1]city_category_summary!$A:$A,A5,[1]city_category_summary!$B:$B,B5)</f>
        <v>14</v>
      </c>
      <c r="H5">
        <f>SUMIFS([1]city_category_summary!$D:$D,[1]city_category_summary!$A:$A,A5,[1]city_category_summary!$B:$B,B5)</f>
        <v>13565</v>
      </c>
      <c r="I5" t="str">
        <f t="shared" si="0"/>
        <v>Match</v>
      </c>
    </row>
    <row r="6" spans="1:9">
      <c r="A6" t="s">
        <v>5</v>
      </c>
      <c r="B6" t="s">
        <v>10</v>
      </c>
      <c r="C6">
        <v>16</v>
      </c>
      <c r="D6">
        <v>32367</v>
      </c>
      <c r="E6">
        <v>2</v>
      </c>
      <c r="F6" t="str">
        <f>VLOOKUP(B6,'category_reference sheet'!$A$2:$D$100,4,FALSE)</f>
        <v>Medium</v>
      </c>
      <c r="G6">
        <f>SUMIFS([1]city_category_summary!$C:$C,[1]city_category_summary!$A:$A,A6,[1]city_category_summary!$B:$B,B6)</f>
        <v>16</v>
      </c>
      <c r="H6">
        <f>SUMIFS([1]city_category_summary!$D:$D,[1]city_category_summary!$A:$A,A6,[1]city_category_summary!$B:$B,B6)</f>
        <v>32367</v>
      </c>
      <c r="I6" t="str">
        <f t="shared" si="0"/>
        <v>Match</v>
      </c>
    </row>
    <row r="7" spans="1:9">
      <c r="A7" t="s">
        <v>11</v>
      </c>
      <c r="B7" t="s">
        <v>7</v>
      </c>
      <c r="C7">
        <v>37</v>
      </c>
      <c r="D7">
        <v>109499</v>
      </c>
      <c r="E7">
        <v>5</v>
      </c>
      <c r="F7" t="str">
        <f>VLOOKUP(B7,'category_reference sheet'!$A$2:$D$100,4,FALSE)</f>
        <v>High</v>
      </c>
      <c r="G7">
        <f>SUMIFS([1]city_category_summary!$C:$C,[1]city_category_summary!$A:$A,A7,[1]city_category_summary!$B:$B,B7)</f>
        <v>37</v>
      </c>
      <c r="H7">
        <f>SUMIFS([1]city_category_summary!$D:$D,[1]city_category_summary!$A:$A,A7,[1]city_category_summary!$B:$B,B7)</f>
        <v>109499</v>
      </c>
      <c r="I7" t="str">
        <f t="shared" si="0"/>
        <v>Match</v>
      </c>
    </row>
    <row r="8" spans="1:9">
      <c r="A8" t="s">
        <v>11</v>
      </c>
      <c r="B8" t="s">
        <v>8</v>
      </c>
      <c r="C8">
        <v>13</v>
      </c>
      <c r="D8">
        <v>13044</v>
      </c>
      <c r="E8">
        <v>1</v>
      </c>
      <c r="F8" t="str">
        <f>VLOOKUP(B8,'category_reference sheet'!$A$2:$D$100,4,FALSE)</f>
        <v>Medium</v>
      </c>
      <c r="G8">
        <f>SUMIFS([1]city_category_summary!$C:$C,[1]city_category_summary!$A:$A,A8,[1]city_category_summary!$B:$B,B8)</f>
        <v>13</v>
      </c>
      <c r="H8">
        <f>SUMIFS([1]city_category_summary!$D:$D,[1]city_category_summary!$A:$A,A8,[1]city_category_summary!$B:$B,B8)</f>
        <v>13044</v>
      </c>
      <c r="I8" t="str">
        <f t="shared" si="0"/>
        <v>Match</v>
      </c>
    </row>
    <row r="9" spans="1:9">
      <c r="A9" t="s">
        <v>11</v>
      </c>
      <c r="B9" t="s">
        <v>12</v>
      </c>
      <c r="C9">
        <v>63</v>
      </c>
      <c r="D9">
        <v>53029</v>
      </c>
      <c r="E9">
        <v>9</v>
      </c>
      <c r="F9" t="str">
        <f>VLOOKUP(B9,'category_reference sheet'!$A$2:$D$100,4,FALSE)</f>
        <v>Low</v>
      </c>
      <c r="G9">
        <f>SUMIFS([1]city_category_summary!$C:$C,[1]city_category_summary!$A:$A,A9,[1]city_category_summary!$B:$B,B9)</f>
        <v>63</v>
      </c>
      <c r="H9">
        <f>SUMIFS([1]city_category_summary!$D:$D,[1]city_category_summary!$A:$A,A9,[1]city_category_summary!$B:$B,B9)</f>
        <v>53029</v>
      </c>
      <c r="I9" t="str">
        <f t="shared" si="0"/>
        <v>Match</v>
      </c>
    </row>
    <row r="10" spans="1:9">
      <c r="A10" t="s">
        <v>13</v>
      </c>
      <c r="B10" t="s">
        <v>6</v>
      </c>
      <c r="C10">
        <v>14</v>
      </c>
      <c r="D10">
        <v>22760</v>
      </c>
      <c r="E10">
        <v>0</v>
      </c>
      <c r="F10" t="str">
        <f>VLOOKUP(B10,'category_reference sheet'!$A$2:$D$100,4,FALSE)</f>
        <v>Medium</v>
      </c>
      <c r="G10">
        <f>SUMIFS([1]city_category_summary!$C:$C,[1]city_category_summary!$A:$A,A10,[1]city_category_summary!$B:$B,B10)</f>
        <v>14</v>
      </c>
      <c r="H10">
        <f>SUMIFS([1]city_category_summary!$D:$D,[1]city_category_summary!$A:$A,A10,[1]city_category_summary!$B:$B,B10)</f>
        <v>22760</v>
      </c>
      <c r="I10" t="str">
        <f t="shared" si="0"/>
        <v>Match</v>
      </c>
    </row>
    <row r="11" spans="1:9">
      <c r="A11" t="s">
        <v>13</v>
      </c>
      <c r="B11" t="s">
        <v>7</v>
      </c>
      <c r="C11">
        <v>25</v>
      </c>
      <c r="D11">
        <v>63041</v>
      </c>
      <c r="E11">
        <v>0</v>
      </c>
      <c r="F11" t="str">
        <f>VLOOKUP(B11,'category_reference sheet'!$A$2:$D$100,4,FALSE)</f>
        <v>High</v>
      </c>
      <c r="G11">
        <f>SUMIFS([1]city_category_summary!$C:$C,[1]city_category_summary!$A:$A,A11,[1]city_category_summary!$B:$B,B11)</f>
        <v>25</v>
      </c>
      <c r="H11">
        <f>SUMIFS([1]city_category_summary!$D:$D,[1]city_category_summary!$A:$A,A11,[1]city_category_summary!$B:$B,B11)</f>
        <v>63041</v>
      </c>
      <c r="I11" t="str">
        <f t="shared" si="0"/>
        <v>Match</v>
      </c>
    </row>
    <row r="12" spans="1:9">
      <c r="A12" t="s">
        <v>13</v>
      </c>
      <c r="B12" t="s">
        <v>8</v>
      </c>
      <c r="C12">
        <v>12</v>
      </c>
      <c r="D12">
        <v>12585</v>
      </c>
      <c r="E12">
        <v>1</v>
      </c>
      <c r="F12" t="str">
        <f>VLOOKUP(B12,'category_reference sheet'!$A$2:$D$100,4,FALSE)</f>
        <v>Medium</v>
      </c>
      <c r="G12">
        <f>SUMIFS([1]city_category_summary!$C:$C,[1]city_category_summary!$A:$A,A12,[1]city_category_summary!$B:$B,B12)</f>
        <v>12</v>
      </c>
      <c r="H12">
        <f>SUMIFS([1]city_category_summary!$D:$D,[1]city_category_summary!$A:$A,A12,[1]city_category_summary!$B:$B,B12)</f>
        <v>12585</v>
      </c>
      <c r="I12" t="str">
        <f t="shared" si="0"/>
        <v>Match</v>
      </c>
    </row>
    <row r="13" spans="1:9">
      <c r="A13" t="s">
        <v>13</v>
      </c>
      <c r="B13" t="s">
        <v>12</v>
      </c>
      <c r="C13">
        <v>19</v>
      </c>
      <c r="D13">
        <v>16065</v>
      </c>
      <c r="E13">
        <v>3</v>
      </c>
      <c r="F13" t="str">
        <f>VLOOKUP(B13,'category_reference sheet'!$A$2:$D$100,4,FALSE)</f>
        <v>Low</v>
      </c>
      <c r="G13">
        <f>SUMIFS([1]city_category_summary!$C:$C,[1]city_category_summary!$A:$A,A13,[1]city_category_summary!$B:$B,B13)</f>
        <v>19</v>
      </c>
      <c r="H13">
        <f>SUMIFS([1]city_category_summary!$D:$D,[1]city_category_summary!$A:$A,A13,[1]city_category_summary!$B:$B,B13)</f>
        <v>16065</v>
      </c>
      <c r="I13" t="str">
        <f t="shared" si="0"/>
        <v>Match</v>
      </c>
    </row>
    <row r="14" spans="1:9">
      <c r="A14" t="s">
        <v>13</v>
      </c>
      <c r="B14" t="s">
        <v>10</v>
      </c>
      <c r="C14">
        <v>13</v>
      </c>
      <c r="D14">
        <v>26320</v>
      </c>
      <c r="E14">
        <v>2</v>
      </c>
      <c r="F14" t="str">
        <f>VLOOKUP(B14,'category_reference sheet'!$A$2:$D$100,4,FALSE)</f>
        <v>Medium</v>
      </c>
      <c r="G14">
        <f>SUMIFS([1]city_category_summary!$C:$C,[1]city_category_summary!$A:$A,A14,[1]city_category_summary!$B:$B,B14)</f>
        <v>13</v>
      </c>
      <c r="H14">
        <f>SUMIFS([1]city_category_summary!$D:$D,[1]city_category_summary!$A:$A,A14,[1]city_category_summary!$B:$B,B14)</f>
        <v>26320</v>
      </c>
      <c r="I14" t="str">
        <f t="shared" si="0"/>
        <v>Match</v>
      </c>
    </row>
    <row r="15" spans="1:9">
      <c r="A15" t="s">
        <v>14</v>
      </c>
      <c r="B15" t="s">
        <v>7</v>
      </c>
      <c r="C15">
        <v>29</v>
      </c>
      <c r="D15">
        <v>91425</v>
      </c>
      <c r="E15">
        <v>4</v>
      </c>
      <c r="F15" t="str">
        <f>VLOOKUP(B15,'category_reference sheet'!$A$2:$D$100,4,FALSE)</f>
        <v>High</v>
      </c>
      <c r="G15">
        <f>SUMIFS([1]city_category_summary!$C:$C,[1]city_category_summary!$A:$A,A15,[1]city_category_summary!$B:$B,B15)</f>
        <v>29</v>
      </c>
      <c r="H15">
        <f>SUMIFS([1]city_category_summary!$D:$D,[1]city_category_summary!$A:$A,A15,[1]city_category_summary!$B:$B,B15)</f>
        <v>91425</v>
      </c>
      <c r="I15" t="str">
        <f t="shared" si="0"/>
        <v>Match</v>
      </c>
    </row>
    <row r="16" spans="1:9">
      <c r="A16" t="s">
        <v>14</v>
      </c>
      <c r="B16" t="s">
        <v>8</v>
      </c>
      <c r="C16">
        <v>27</v>
      </c>
      <c r="D16">
        <v>29032</v>
      </c>
      <c r="E16">
        <v>3</v>
      </c>
      <c r="F16" t="str">
        <f>VLOOKUP(B16,'category_reference sheet'!$A$2:$D$100,4,FALSE)</f>
        <v>Medium</v>
      </c>
      <c r="G16">
        <f>SUMIFS([1]city_category_summary!$C:$C,[1]city_category_summary!$A:$A,A16,[1]city_category_summary!$B:$B,B16)</f>
        <v>27</v>
      </c>
      <c r="H16">
        <f>SUMIFS([1]city_category_summary!$D:$D,[1]city_category_summary!$A:$A,A16,[1]city_category_summary!$B:$B,B16)</f>
        <v>29032</v>
      </c>
      <c r="I16" t="str">
        <f t="shared" si="0"/>
        <v>Match</v>
      </c>
    </row>
    <row r="17" spans="1:9">
      <c r="A17" t="s">
        <v>14</v>
      </c>
      <c r="B17" t="s">
        <v>12</v>
      </c>
      <c r="C17">
        <v>13</v>
      </c>
      <c r="D17">
        <v>11743</v>
      </c>
      <c r="E17">
        <v>1</v>
      </c>
      <c r="F17" t="str">
        <f>VLOOKUP(B17,'category_reference sheet'!$A$2:$D$100,4,FALSE)</f>
        <v>Low</v>
      </c>
      <c r="G17">
        <f>SUMIFS([1]city_category_summary!$C:$C,[1]city_category_summary!$A:$A,A17,[1]city_category_summary!$B:$B,B17)</f>
        <v>13</v>
      </c>
      <c r="H17">
        <f>SUMIFS([1]city_category_summary!$D:$D,[1]city_category_summary!$A:$A,A17,[1]city_category_summary!$B:$B,B17)</f>
        <v>11743</v>
      </c>
      <c r="I17" t="str">
        <f t="shared" si="0"/>
        <v>Match</v>
      </c>
    </row>
    <row r="18" spans="1:9">
      <c r="A18" t="s">
        <v>14</v>
      </c>
      <c r="B18" t="s">
        <v>9</v>
      </c>
      <c r="C18">
        <v>23</v>
      </c>
      <c r="D18">
        <v>22289</v>
      </c>
      <c r="E18">
        <v>5</v>
      </c>
      <c r="F18" t="str">
        <f>VLOOKUP(B18,'category_reference sheet'!$A$2:$D$100,4,FALSE)</f>
        <v>Low</v>
      </c>
      <c r="G18">
        <f>SUMIFS([1]city_category_summary!$C:$C,[1]city_category_summary!$A:$A,A18,[1]city_category_summary!$B:$B,B18)</f>
        <v>23</v>
      </c>
      <c r="H18">
        <f>SUMIFS([1]city_category_summary!$D:$D,[1]city_category_summary!$A:$A,A18,[1]city_category_summary!$B:$B,B18)</f>
        <v>22289</v>
      </c>
      <c r="I18" t="str">
        <f t="shared" si="0"/>
        <v>Match</v>
      </c>
    </row>
    <row r="19" spans="1:9">
      <c r="A19" t="s">
        <v>14</v>
      </c>
      <c r="B19" t="s">
        <v>10</v>
      </c>
      <c r="C19">
        <v>6</v>
      </c>
      <c r="D19">
        <v>17149</v>
      </c>
      <c r="E19">
        <v>1</v>
      </c>
      <c r="F19" t="str">
        <f>VLOOKUP(B19,'category_reference sheet'!$A$2:$D$100,4,FALSE)</f>
        <v>Medium</v>
      </c>
      <c r="G19">
        <f>SUMIFS([1]city_category_summary!$C:$C,[1]city_category_summary!$A:$A,A19,[1]city_category_summary!$B:$B,B19)</f>
        <v>6</v>
      </c>
      <c r="H19">
        <f>SUMIFS([1]city_category_summary!$D:$D,[1]city_category_summary!$A:$A,A19,[1]city_category_summary!$B:$B,B19)</f>
        <v>17149</v>
      </c>
      <c r="I19" t="str">
        <f t="shared" si="0"/>
        <v>Match</v>
      </c>
    </row>
    <row r="20" spans="1:9">
      <c r="A20" t="s">
        <v>15</v>
      </c>
      <c r="B20" t="s">
        <v>6</v>
      </c>
      <c r="C20">
        <v>20</v>
      </c>
      <c r="D20">
        <v>29050</v>
      </c>
      <c r="E20">
        <v>4</v>
      </c>
      <c r="F20" t="str">
        <f>VLOOKUP(B20,'category_reference sheet'!$A$2:$D$100,4,FALSE)</f>
        <v>Medium</v>
      </c>
      <c r="G20">
        <f>SUMIFS([1]city_category_summary!$C:$C,[1]city_category_summary!$A:$A,A20,[1]city_category_summary!$B:$B,B20)</f>
        <v>20</v>
      </c>
      <c r="H20">
        <f>SUMIFS([1]city_category_summary!$D:$D,[1]city_category_summary!$A:$A,A20,[1]city_category_summary!$B:$B,B20)</f>
        <v>29050</v>
      </c>
      <c r="I20" t="str">
        <f t="shared" si="0"/>
        <v>Match</v>
      </c>
    </row>
    <row r="21" spans="1:9">
      <c r="A21" t="s">
        <v>15</v>
      </c>
      <c r="B21" t="s">
        <v>7</v>
      </c>
      <c r="C21">
        <v>28</v>
      </c>
      <c r="D21">
        <v>73938</v>
      </c>
      <c r="E21">
        <v>1</v>
      </c>
      <c r="F21" t="str">
        <f>VLOOKUP(B21,'category_reference sheet'!$A$2:$D$100,4,FALSE)</f>
        <v>High</v>
      </c>
      <c r="G21">
        <f>SUMIFS([1]city_category_summary!$C:$C,[1]city_category_summary!$A:$A,A21,[1]city_category_summary!$B:$B,B21)</f>
        <v>28</v>
      </c>
      <c r="H21">
        <f>SUMIFS([1]city_category_summary!$D:$D,[1]city_category_summary!$A:$A,A21,[1]city_category_summary!$B:$B,B21)</f>
        <v>73938</v>
      </c>
      <c r="I21" t="str">
        <f t="shared" si="0"/>
        <v>Match</v>
      </c>
    </row>
    <row r="22" spans="1:9">
      <c r="A22" t="s">
        <v>15</v>
      </c>
      <c r="B22" t="s">
        <v>8</v>
      </c>
      <c r="C22">
        <v>11</v>
      </c>
      <c r="D22">
        <v>11360</v>
      </c>
      <c r="E22">
        <v>2</v>
      </c>
      <c r="F22" t="str">
        <f>VLOOKUP(B22,'category_reference sheet'!$A$2:$D$100,4,FALSE)</f>
        <v>Medium</v>
      </c>
      <c r="G22">
        <f>SUMIFS([1]city_category_summary!$C:$C,[1]city_category_summary!$A:$A,A22,[1]city_category_summary!$B:$B,B22)</f>
        <v>11</v>
      </c>
      <c r="H22">
        <f>SUMIFS([1]city_category_summary!$D:$D,[1]city_category_summary!$A:$A,A22,[1]city_category_summary!$B:$B,B22)</f>
        <v>11360</v>
      </c>
      <c r="I22" t="str">
        <f t="shared" si="0"/>
        <v>Match</v>
      </c>
    </row>
    <row r="23" spans="1:9">
      <c r="A23" t="s">
        <v>15</v>
      </c>
      <c r="B23" t="s">
        <v>9</v>
      </c>
      <c r="C23">
        <v>27</v>
      </c>
      <c r="D23">
        <v>23901</v>
      </c>
      <c r="E23">
        <v>5</v>
      </c>
      <c r="F23" t="str">
        <f>VLOOKUP(B23,'category_reference sheet'!$A$2:$D$100,4,FALSE)</f>
        <v>Low</v>
      </c>
      <c r="G23">
        <f>SUMIFS([1]city_category_summary!$C:$C,[1]city_category_summary!$A:$A,A23,[1]city_category_summary!$B:$B,B23)</f>
        <v>27</v>
      </c>
      <c r="H23">
        <f>SUMIFS([1]city_category_summary!$D:$D,[1]city_category_summary!$A:$A,A23,[1]city_category_summary!$B:$B,B23)</f>
        <v>23901</v>
      </c>
      <c r="I23" t="str">
        <f t="shared" si="0"/>
        <v>Match</v>
      </c>
    </row>
    <row r="24" spans="1:9">
      <c r="A24" t="s">
        <v>15</v>
      </c>
      <c r="B24" t="s">
        <v>10</v>
      </c>
      <c r="C24">
        <v>6</v>
      </c>
      <c r="D24">
        <v>13181</v>
      </c>
      <c r="E24">
        <v>1</v>
      </c>
      <c r="F24" t="str">
        <f>VLOOKUP(B24,'category_reference sheet'!$A$2:$D$100,4,FALSE)</f>
        <v>Medium</v>
      </c>
      <c r="G24">
        <f>SUMIFS([1]city_category_summary!$C:$C,[1]city_category_summary!$A:$A,A24,[1]city_category_summary!$B:$B,B24)</f>
        <v>6</v>
      </c>
      <c r="H24">
        <f>SUMIFS([1]city_category_summary!$D:$D,[1]city_category_summary!$A:$A,A24,[1]city_category_summary!$B:$B,B24)</f>
        <v>13181</v>
      </c>
      <c r="I24" t="str">
        <f t="shared" si="0"/>
        <v>Match</v>
      </c>
    </row>
    <row r="25" spans="1:9">
      <c r="A25" t="s">
        <v>16</v>
      </c>
      <c r="B25" t="s">
        <v>7</v>
      </c>
      <c r="C25">
        <v>39</v>
      </c>
      <c r="D25">
        <v>121469</v>
      </c>
      <c r="E25">
        <v>9</v>
      </c>
      <c r="F25" t="str">
        <f>VLOOKUP(B25,'category_reference sheet'!$A$2:$D$100,4,FALSE)</f>
        <v>High</v>
      </c>
      <c r="G25">
        <f>SUMIFS([1]city_category_summary!$C:$C,[1]city_category_summary!$A:$A,A25,[1]city_category_summary!$B:$B,B25)</f>
        <v>39</v>
      </c>
      <c r="H25">
        <f>SUMIFS([1]city_category_summary!$D:$D,[1]city_category_summary!$A:$A,A25,[1]city_category_summary!$B:$B,B25)</f>
        <v>121469</v>
      </c>
      <c r="I25" t="str">
        <f t="shared" si="0"/>
        <v>Match</v>
      </c>
    </row>
    <row r="26" spans="1:9">
      <c r="A26" t="s">
        <v>16</v>
      </c>
      <c r="B26" t="s">
        <v>8</v>
      </c>
      <c r="C26">
        <v>30</v>
      </c>
      <c r="D26">
        <v>30778</v>
      </c>
      <c r="E26">
        <v>3</v>
      </c>
      <c r="F26" t="str">
        <f>VLOOKUP(B26,'category_reference sheet'!$A$2:$D$100,4,FALSE)</f>
        <v>Medium</v>
      </c>
      <c r="G26">
        <f>SUMIFS([1]city_category_summary!$C:$C,[1]city_category_summary!$A:$A,A26,[1]city_category_summary!$B:$B,B26)</f>
        <v>30</v>
      </c>
      <c r="H26">
        <f>SUMIFS([1]city_category_summary!$D:$D,[1]city_category_summary!$A:$A,A26,[1]city_category_summary!$B:$B,B26)</f>
        <v>30778</v>
      </c>
      <c r="I26" t="str">
        <f t="shared" si="0"/>
        <v>Match</v>
      </c>
    </row>
    <row r="27" spans="1:9">
      <c r="A27" t="s">
        <v>16</v>
      </c>
      <c r="B27" t="s">
        <v>9</v>
      </c>
      <c r="C27">
        <v>14</v>
      </c>
      <c r="D27">
        <v>13808</v>
      </c>
      <c r="E27">
        <v>1</v>
      </c>
      <c r="F27" t="str">
        <f>VLOOKUP(B27,'category_reference sheet'!$A$2:$D$100,4,FALSE)</f>
        <v>Low</v>
      </c>
      <c r="G27">
        <f>SUMIFS([1]city_category_summary!$C:$C,[1]city_category_summary!$A:$A,A27,[1]city_category_summary!$B:$B,B27)</f>
        <v>14</v>
      </c>
      <c r="H27">
        <f>SUMIFS([1]city_category_summary!$D:$D,[1]city_category_summary!$A:$A,A27,[1]city_category_summary!$B:$B,B27)</f>
        <v>13808</v>
      </c>
      <c r="I27" t="str">
        <f t="shared" si="0"/>
        <v>Match</v>
      </c>
    </row>
    <row r="28" spans="1:9">
      <c r="A28" t="s">
        <v>16</v>
      </c>
      <c r="B28" t="s">
        <v>10</v>
      </c>
      <c r="C28">
        <v>24</v>
      </c>
      <c r="D28">
        <v>62672</v>
      </c>
      <c r="E28">
        <v>1</v>
      </c>
      <c r="F28" t="str">
        <f>VLOOKUP(B28,'category_reference sheet'!$A$2:$D$100,4,FALSE)</f>
        <v>Medium</v>
      </c>
      <c r="G28">
        <f>SUMIFS([1]city_category_summary!$C:$C,[1]city_category_summary!$A:$A,A28,[1]city_category_summary!$B:$B,B28)</f>
        <v>24</v>
      </c>
      <c r="H28">
        <f>SUMIFS([1]city_category_summary!$D:$D,[1]city_category_summary!$A:$A,A28,[1]city_category_summary!$B:$B,B28)</f>
        <v>62672</v>
      </c>
      <c r="I28" t="str">
        <f t="shared" si="0"/>
        <v>Match</v>
      </c>
    </row>
  </sheetData>
  <conditionalFormatting sqref="E1:E1048576 F1">
    <cfRule type="colorScale" priority="2">
      <colorScale>
        <cfvo type="min" val="0"/>
        <cfvo type="max" val="0"/>
        <color rgb="FFFF7128"/>
        <color rgb="FFFFEF9C"/>
      </colorScale>
    </cfRule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C9" sqref="C9"/>
    </sheetView>
  </sheetViews>
  <sheetFormatPr defaultRowHeight="14.4"/>
  <sheetData>
    <row r="1" spans="1:6">
      <c r="A1" t="s">
        <v>17</v>
      </c>
      <c r="B1" t="s">
        <v>19</v>
      </c>
      <c r="C1" t="s">
        <v>18</v>
      </c>
      <c r="D1" t="s">
        <v>20</v>
      </c>
      <c r="E1" t="s">
        <v>21</v>
      </c>
      <c r="F1" t="s">
        <v>22</v>
      </c>
    </row>
    <row r="2" spans="1:6">
      <c r="A2" t="s">
        <v>5</v>
      </c>
      <c r="B2">
        <v>107</v>
      </c>
      <c r="C2">
        <f>SUMIFS('City-Category Data'!$D$2:$D$28,'City-Category Data'!$A$2:$A$28,"Bengaluru")</f>
        <v>179835</v>
      </c>
      <c r="D2">
        <f>COUNTIFS('City-Category Data'!$A$2:$A$28,"Bengaluru")</f>
        <v>5</v>
      </c>
      <c r="E2">
        <v>150000</v>
      </c>
      <c r="F2" t="s">
        <v>23</v>
      </c>
    </row>
    <row r="3" spans="1:6">
      <c r="A3" t="s">
        <v>15</v>
      </c>
      <c r="B3">
        <v>92</v>
      </c>
      <c r="C3">
        <f>SUMIFS('City-Category Data'!$D$2:$D$28,'City-Category Data'!$A$2:$A$28,"Mumbai")</f>
        <v>151430</v>
      </c>
      <c r="D3">
        <f>COUNTIFS('City-Category Data'!$A$2:$A$28,"Mumbai")</f>
        <v>5</v>
      </c>
      <c r="E3">
        <v>150000</v>
      </c>
      <c r="F3" t="s">
        <v>23</v>
      </c>
    </row>
    <row r="4" spans="1:6">
      <c r="A4" t="s">
        <v>13</v>
      </c>
      <c r="B4" s="1">
        <v>83</v>
      </c>
      <c r="C4">
        <f>SUMIFS('City-Category Data'!$D$2:$D$28,'City-Category Data'!$A$2:$A$28,"Delhi NCR")</f>
        <v>140771</v>
      </c>
      <c r="D4">
        <f>COUNTIFS('City-Category Data'!$A$2:$A$28,"Delhi NCR")</f>
        <v>5</v>
      </c>
      <c r="E4">
        <v>150000</v>
      </c>
      <c r="F4" t="str">
        <f t="shared" ref="F4" si="0">IF(B4=E4,"Yes","No")</f>
        <v>No</v>
      </c>
    </row>
    <row r="5" spans="1:6">
      <c r="A5" t="s">
        <v>16</v>
      </c>
      <c r="B5" s="2">
        <v>107</v>
      </c>
      <c r="C5">
        <f>SUMIFS('City-Category Data'!$D$2:$D$28,'City-Category Data'!$A$2:$A$28,"Pune")</f>
        <v>228727</v>
      </c>
      <c r="D5">
        <f>COUNTIFS('City-Category Data'!$A$2:$A$28,"Pune")</f>
        <v>4</v>
      </c>
      <c r="E5">
        <v>150000</v>
      </c>
      <c r="F5" t="s">
        <v>23</v>
      </c>
    </row>
    <row r="6" spans="1:6">
      <c r="A6" t="s">
        <v>14</v>
      </c>
      <c r="B6">
        <v>98</v>
      </c>
      <c r="C6">
        <f>SUMIFS('City-Category Data'!$D$2:$D$28,'City-Category Data'!$A$2:$A$28,"Hyderabad")</f>
        <v>171638</v>
      </c>
      <c r="D6">
        <f>COUNTIFS('City-Category Data'!$A$2:$A$28,"Hyderabad")</f>
        <v>5</v>
      </c>
      <c r="E6">
        <v>150000</v>
      </c>
      <c r="F6" t="s">
        <v>23</v>
      </c>
    </row>
    <row r="7" spans="1:6">
      <c r="A7" t="s">
        <v>11</v>
      </c>
      <c r="B7">
        <v>113</v>
      </c>
      <c r="C7">
        <f>SUMIFS('City-Category Data'!$D$2:$D$28,'City-Category Data'!$A$2:$A$28,"Chennai")</f>
        <v>175572</v>
      </c>
      <c r="D7">
        <f>COUNTIFS('City-Category Data'!$A$2:$A$28,"Chennai")</f>
        <v>3</v>
      </c>
      <c r="E7">
        <v>150000</v>
      </c>
      <c r="F7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sqref="A1:D7"/>
    </sheetView>
  </sheetViews>
  <sheetFormatPr defaultRowHeight="14.4"/>
  <cols>
    <col min="1" max="1" width="32.88671875" customWidth="1"/>
    <col min="2" max="2" width="20.77734375" customWidth="1"/>
    <col min="3" max="3" width="15.77734375" customWidth="1"/>
    <col min="4" max="4" width="26.77734375" customWidth="1"/>
  </cols>
  <sheetData>
    <row r="1" spans="1:4" ht="21" customHeight="1">
      <c r="A1" s="3" t="s">
        <v>24</v>
      </c>
      <c r="B1" s="3" t="s">
        <v>29</v>
      </c>
      <c r="C1" s="3" t="s">
        <v>30</v>
      </c>
      <c r="D1" s="3" t="s">
        <v>25</v>
      </c>
    </row>
    <row r="2" spans="1:4" ht="17.399999999999999" customHeight="1">
      <c r="A2" s="4" t="s">
        <v>6</v>
      </c>
      <c r="B2" s="4">
        <v>499</v>
      </c>
      <c r="C2" s="4">
        <v>2499</v>
      </c>
      <c r="D2" s="4" t="s">
        <v>27</v>
      </c>
    </row>
    <row r="3" spans="1:4" ht="16.2" customHeight="1">
      <c r="A3" s="4" t="s">
        <v>10</v>
      </c>
      <c r="B3" s="4">
        <v>699</v>
      </c>
      <c r="C3" s="4">
        <v>3499</v>
      </c>
      <c r="D3" s="4" t="s">
        <v>27</v>
      </c>
    </row>
    <row r="4" spans="1:4" ht="19.8" customHeight="1">
      <c r="A4" s="4" t="s">
        <v>9</v>
      </c>
      <c r="B4" s="4">
        <v>349</v>
      </c>
      <c r="C4" s="4">
        <v>1499</v>
      </c>
      <c r="D4" s="4" t="s">
        <v>28</v>
      </c>
    </row>
    <row r="5" spans="1:4" ht="17.399999999999999" customHeight="1">
      <c r="A5" s="4" t="s">
        <v>7</v>
      </c>
      <c r="B5" s="4">
        <v>999</v>
      </c>
      <c r="C5" s="4">
        <v>4999</v>
      </c>
      <c r="D5" s="4" t="s">
        <v>26</v>
      </c>
    </row>
    <row r="6" spans="1:4">
      <c r="A6" s="4" t="s">
        <v>12</v>
      </c>
      <c r="B6" s="4">
        <v>199</v>
      </c>
      <c r="C6" s="4">
        <v>1499</v>
      </c>
      <c r="D6" s="4" t="s">
        <v>28</v>
      </c>
    </row>
    <row r="7" spans="1:4" ht="16.2" customHeight="1">
      <c r="A7" s="4" t="s">
        <v>8</v>
      </c>
      <c r="B7" s="4">
        <v>199</v>
      </c>
      <c r="C7" s="4">
        <v>1999</v>
      </c>
      <c r="D7" s="4" t="s">
        <v>27</v>
      </c>
    </row>
    <row r="11" spans="1:4">
      <c r="A11" t="s">
        <v>31</v>
      </c>
    </row>
    <row r="12" spans="1:4">
      <c r="A12" t="s">
        <v>32</v>
      </c>
    </row>
    <row r="13" spans="1:4">
      <c r="A1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H11"/>
  <sheetViews>
    <sheetView workbookViewId="0">
      <selection activeCell="F30" sqref="F30"/>
    </sheetView>
  </sheetViews>
  <sheetFormatPr defaultRowHeight="14.4"/>
  <cols>
    <col min="1" max="1" width="17.77734375" customWidth="1"/>
    <col min="2" max="2" width="17.6640625" customWidth="1"/>
    <col min="3" max="3" width="18.6640625" bestFit="1" customWidth="1"/>
    <col min="4" max="4" width="14.33203125" customWidth="1"/>
    <col min="5" max="5" width="9" customWidth="1"/>
    <col min="6" max="6" width="12.88671875" customWidth="1"/>
    <col min="7" max="7" width="15.77734375" customWidth="1"/>
    <col min="8" max="8" width="10.77734375" customWidth="1"/>
    <col min="9" max="9" width="18.44140625" bestFit="1" customWidth="1"/>
    <col min="10" max="10" width="17.77734375" bestFit="1" customWidth="1"/>
    <col min="11" max="11" width="18.44140625" bestFit="1" customWidth="1"/>
    <col min="12" max="12" width="17.77734375" bestFit="1" customWidth="1"/>
    <col min="13" max="13" width="18.44140625" customWidth="1"/>
    <col min="14" max="14" width="22.5546875" bestFit="1" customWidth="1"/>
    <col min="15" max="15" width="23.21875" bestFit="1" customWidth="1"/>
    <col min="16" max="16" width="18.44140625" customWidth="1"/>
    <col min="17" max="17" width="17.77734375" customWidth="1"/>
    <col min="18" max="18" width="21.33203125" customWidth="1"/>
    <col min="19" max="19" width="18.44140625" customWidth="1"/>
    <col min="20" max="20" width="22.5546875" bestFit="1" customWidth="1"/>
    <col min="21" max="21" width="26.109375" customWidth="1"/>
    <col min="22" max="22" width="23.21875" customWidth="1"/>
    <col min="23" max="23" width="13.77734375" bestFit="1" customWidth="1"/>
    <col min="24" max="24" width="14.88671875" bestFit="1" customWidth="1"/>
    <col min="25" max="27" width="6" customWidth="1"/>
    <col min="28" max="29" width="17.77734375" bestFit="1" customWidth="1"/>
    <col min="30" max="33" width="6" customWidth="1"/>
    <col min="34" max="34" width="20.5546875" bestFit="1" customWidth="1"/>
    <col min="35" max="35" width="10.77734375" bestFit="1" customWidth="1"/>
  </cols>
  <sheetData>
    <row r="3" spans="1:8">
      <c r="A3" s="5" t="s">
        <v>37</v>
      </c>
      <c r="B3" s="5" t="s">
        <v>36</v>
      </c>
    </row>
    <row r="4" spans="1:8">
      <c r="A4" s="5" t="s">
        <v>34</v>
      </c>
      <c r="B4" t="s">
        <v>6</v>
      </c>
      <c r="C4" t="s">
        <v>7</v>
      </c>
      <c r="D4" t="s">
        <v>8</v>
      </c>
      <c r="E4" t="s">
        <v>12</v>
      </c>
      <c r="F4" t="s">
        <v>9</v>
      </c>
      <c r="G4" t="s">
        <v>10</v>
      </c>
      <c r="H4" t="s">
        <v>35</v>
      </c>
    </row>
    <row r="5" spans="1:8">
      <c r="A5" s="6" t="s">
        <v>5</v>
      </c>
      <c r="B5" s="7">
        <v>61229</v>
      </c>
      <c r="C5" s="7">
        <v>49592</v>
      </c>
      <c r="D5" s="7">
        <v>23082</v>
      </c>
      <c r="E5" s="7"/>
      <c r="F5" s="7">
        <v>13565</v>
      </c>
      <c r="G5" s="7">
        <v>32367</v>
      </c>
      <c r="H5" s="7">
        <v>179835</v>
      </c>
    </row>
    <row r="6" spans="1:8">
      <c r="A6" s="6" t="s">
        <v>11</v>
      </c>
      <c r="B6" s="7"/>
      <c r="C6" s="7">
        <v>109499</v>
      </c>
      <c r="D6" s="7">
        <v>13044</v>
      </c>
      <c r="E6" s="7">
        <v>53029</v>
      </c>
      <c r="F6" s="7"/>
      <c r="G6" s="7"/>
      <c r="H6" s="7">
        <v>175572</v>
      </c>
    </row>
    <row r="7" spans="1:8">
      <c r="A7" s="6" t="s">
        <v>13</v>
      </c>
      <c r="B7" s="7">
        <v>22760</v>
      </c>
      <c r="C7" s="7">
        <v>63041</v>
      </c>
      <c r="D7" s="7">
        <v>12585</v>
      </c>
      <c r="E7" s="7">
        <v>16065</v>
      </c>
      <c r="F7" s="7"/>
      <c r="G7" s="7">
        <v>26320</v>
      </c>
      <c r="H7" s="7">
        <v>140771</v>
      </c>
    </row>
    <row r="8" spans="1:8">
      <c r="A8" s="6" t="s">
        <v>14</v>
      </c>
      <c r="B8" s="7"/>
      <c r="C8" s="7">
        <v>91425</v>
      </c>
      <c r="D8" s="7">
        <v>29032</v>
      </c>
      <c r="E8" s="7">
        <v>11743</v>
      </c>
      <c r="F8" s="7">
        <v>22289</v>
      </c>
      <c r="G8" s="7">
        <v>17149</v>
      </c>
      <c r="H8" s="7">
        <v>171638</v>
      </c>
    </row>
    <row r="9" spans="1:8">
      <c r="A9" s="6" t="s">
        <v>15</v>
      </c>
      <c r="B9" s="7">
        <v>29050</v>
      </c>
      <c r="C9" s="7">
        <v>73938</v>
      </c>
      <c r="D9" s="7">
        <v>11360</v>
      </c>
      <c r="E9" s="7"/>
      <c r="F9" s="7">
        <v>23901</v>
      </c>
      <c r="G9" s="7">
        <v>13181</v>
      </c>
      <c r="H9" s="7">
        <v>151430</v>
      </c>
    </row>
    <row r="10" spans="1:8">
      <c r="A10" s="6" t="s">
        <v>16</v>
      </c>
      <c r="B10" s="7"/>
      <c r="C10" s="7">
        <v>121469</v>
      </c>
      <c r="D10" s="7">
        <v>30778</v>
      </c>
      <c r="E10" s="7"/>
      <c r="F10" s="7">
        <v>13808</v>
      </c>
      <c r="G10" s="7">
        <v>62672</v>
      </c>
      <c r="H10" s="7">
        <v>228727</v>
      </c>
    </row>
    <row r="11" spans="1:8">
      <c r="A11" s="6" t="s">
        <v>35</v>
      </c>
      <c r="B11" s="7">
        <v>113039</v>
      </c>
      <c r="C11" s="7">
        <v>508964</v>
      </c>
      <c r="D11" s="7">
        <v>119881</v>
      </c>
      <c r="E11" s="7">
        <v>80837</v>
      </c>
      <c r="F11" s="7">
        <v>73563</v>
      </c>
      <c r="G11" s="7">
        <v>151689</v>
      </c>
      <c r="H11" s="7">
        <v>1047973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City-Category Data</vt:lpstr>
      <vt:lpstr>KPI Summary</vt:lpstr>
      <vt:lpstr>category_reference sheet</vt:lpstr>
      <vt:lpstr>pivot 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2026-09-21T10:07:37Z</dcterms:created>
  <dcterms:modified xsi:type="dcterms:W3CDTF">2026-10-27T06:41:27Z</dcterms:modified>
</cp:coreProperties>
</file>